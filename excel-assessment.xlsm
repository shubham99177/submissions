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42bf8fbf4a7e264/Documents/"/>
    </mc:Choice>
  </mc:AlternateContent>
  <xr:revisionPtr revIDLastSave="0" documentId="8_{E9BBEB4E-AD93-40D9-B33E-A7EFC13606A3}" xr6:coauthVersionLast="47" xr6:coauthVersionMax="47" xr10:uidLastSave="{00000000-0000-0000-0000-000000000000}"/>
  <bookViews>
    <workbookView xWindow="-108" yWindow="-108" windowWidth="23256" windowHeight="12456" tabRatio="849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3" i="1" l="1"/>
  <c r="E15" i="19"/>
  <c r="C5" i="15"/>
  <c r="D28" i="18"/>
  <c r="E28" i="18"/>
  <c r="F28" i="18"/>
  <c r="D29" i="18"/>
  <c r="D30" i="18" s="1"/>
  <c r="E29" i="18"/>
  <c r="E30" i="18"/>
  <c r="C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C6" i="18"/>
  <c r="B30" i="18"/>
  <c r="B29" i="18"/>
  <c r="B28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73" i="18"/>
  <c r="F29" i="18" l="1"/>
  <c r="F30" i="18" s="1"/>
  <c r="C29" i="18"/>
  <c r="C30" i="18" l="1"/>
  <c r="C13" i="19"/>
  <c r="C13" i="19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<sst xmlns="http://schemas.openxmlformats.org/spreadsheetml/2006/main" count="463" uniqueCount="177">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</sst>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1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FFFFFF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171" fontId="7" fillId="0" borderId="0" xfId="0" applyNumberFormat="1" applyFont="1"/>
    <xf numFmtId="171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4"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H1" sqref="H1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4"/>
  <sheetViews>
    <sheetView zoomScaleNormal="100" workbookViewId="0">
      <pane ySplit="1" topLeftCell="A20" activePane="bottomLeft" state="frozen"/>
      <selection pane="bottomLeft" activeCell="H43" sqref="H4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7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3" spans="1:24" x14ac:dyDescent="0.3">
      <c r="H43" s="1">
        <f>SUMIF(H2:H40,"&gt;20",H2:H40)</f>
        <v>1473.0000000000002</v>
      </c>
    </row>
    <row r="44" spans="1:24" x14ac:dyDescent="0.3">
      <c r="H44" s="46"/>
    </row>
  </sheetData>
  <phoneticPr fontId="10" type="noConversion"/>
  <conditionalFormatting sqref="A1:A1048576">
    <cfRule type="duplicateValues" dxfId="7" priority="5"/>
  </conditionalFormatting>
  <conditionalFormatting sqref="B1:B1048576">
    <cfRule type="duplicateValues" dxfId="6" priority="4"/>
  </conditionalFormatting>
  <conditionalFormatting sqref="A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X40">
    <cfRule type="cellIs" dxfId="5" priority="1" operator="equal">
      <formula>0</formula>
    </cfRule>
    <cfRule type="cellIs" dxfId="4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SUMIF(H2:H40,"&gt;20",H2:H40)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X73"/>
  <sheetViews>
    <sheetView topLeftCell="B27" zoomScaleNormal="100" workbookViewId="0">
      <selection activeCell="H27" sqref="H2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">
        <f>VLOOKUP(A34,A33:X73,7,0)</f>
        <v>2.7</v>
      </c>
      <c r="C6" s="1">
        <f>VLOOKUP(A34,A33:X73,7+6,0)</f>
        <v>5.3</v>
      </c>
      <c r="D6" s="1">
        <f>VLOOKUP(B34,B33:Y73,7+10,0)</f>
        <v>4.2</v>
      </c>
      <c r="E6" s="12">
        <f>VLOOKUP(B34,B33:Y73,7+12,0)</f>
        <v>8.9</v>
      </c>
      <c r="F6" s="8">
        <f>VLOOKUP(B34,B33:Y73,7+14,0)</f>
        <v>4.2</v>
      </c>
    </row>
    <row r="7" spans="1:7" ht="14.4" x14ac:dyDescent="0.3">
      <c r="A7" s="7" t="s">
        <v>4</v>
      </c>
      <c r="B7" s="1">
        <f t="shared" ref="B7:B27" si="0">VLOOKUP(A35,A34:X74,7,0)</f>
        <v>2.7</v>
      </c>
      <c r="C7" s="1">
        <f t="shared" ref="C7:C27" si="1">VLOOKUP(A35,A34:X74,7+6,0)</f>
        <v>5.3</v>
      </c>
      <c r="D7" s="1">
        <f t="shared" ref="D7:D27" si="2">VLOOKUP(B35,B34:Y74,7+10,0)</f>
        <v>4.2</v>
      </c>
      <c r="E7" s="12">
        <f t="shared" ref="E7:E27" si="3">VLOOKUP(B35,B34:Y74,7+12,0)</f>
        <v>8.9</v>
      </c>
      <c r="F7" s="8">
        <f t="shared" ref="F7:F27" si="4">VLOOKUP(B35,B34:Y74,7+14,0)</f>
        <v>4.2</v>
      </c>
    </row>
    <row r="8" spans="1:7" ht="14.4" x14ac:dyDescent="0.3">
      <c r="A8" s="7" t="s">
        <v>7</v>
      </c>
      <c r="B8" s="1">
        <f t="shared" si="0"/>
        <v>3.6</v>
      </c>
      <c r="C8" s="1">
        <f t="shared" si="1"/>
        <v>7.6</v>
      </c>
      <c r="D8" s="1">
        <f t="shared" si="2"/>
        <v>5.8</v>
      </c>
      <c r="E8" s="12">
        <f t="shared" si="3"/>
        <v>12.2</v>
      </c>
      <c r="F8" s="8">
        <f t="shared" si="4"/>
        <v>5.8</v>
      </c>
    </row>
    <row r="9" spans="1:7" ht="14.4" x14ac:dyDescent="0.3">
      <c r="A9" s="7" t="s">
        <v>8</v>
      </c>
      <c r="B9" s="1">
        <f t="shared" si="0"/>
        <v>4.9000000000000004</v>
      </c>
      <c r="C9" s="1">
        <f t="shared" si="1"/>
        <v>10</v>
      </c>
      <c r="D9" s="1">
        <f t="shared" si="2"/>
        <v>8.1</v>
      </c>
      <c r="E9" s="12">
        <f t="shared" si="3"/>
        <v>17</v>
      </c>
      <c r="F9" s="8">
        <f t="shared" si="4"/>
        <v>8.1</v>
      </c>
    </row>
    <row r="10" spans="1:7" ht="14.4" x14ac:dyDescent="0.3">
      <c r="A10" s="7" t="s">
        <v>11</v>
      </c>
      <c r="B10" s="1">
        <f t="shared" si="0"/>
        <v>6.6</v>
      </c>
      <c r="C10" s="1">
        <f t="shared" si="1"/>
        <v>13.3</v>
      </c>
      <c r="D10" s="1">
        <f t="shared" si="2"/>
        <v>11</v>
      </c>
      <c r="E10" s="12">
        <f t="shared" si="3"/>
        <v>22.5</v>
      </c>
      <c r="F10" s="8">
        <f t="shared" si="4"/>
        <v>11</v>
      </c>
    </row>
    <row r="11" spans="1:7" ht="14.4" x14ac:dyDescent="0.3">
      <c r="A11" s="7" t="s">
        <v>12</v>
      </c>
      <c r="B11" s="1">
        <f t="shared" si="0"/>
        <v>7.1</v>
      </c>
      <c r="C11" s="1">
        <f t="shared" si="1"/>
        <v>14.4</v>
      </c>
      <c r="D11" s="1">
        <f t="shared" si="2"/>
        <v>12.8</v>
      </c>
      <c r="E11" s="12">
        <f t="shared" si="3"/>
        <v>26.1</v>
      </c>
      <c r="F11" s="8">
        <f t="shared" si="4"/>
        <v>12.8</v>
      </c>
    </row>
    <row r="12" spans="1:7" ht="14.4" x14ac:dyDescent="0.3">
      <c r="A12" s="7" t="s">
        <v>14</v>
      </c>
      <c r="B12" s="1">
        <f t="shared" si="0"/>
        <v>9.4</v>
      </c>
      <c r="C12" s="1">
        <f t="shared" si="1"/>
        <v>19.2</v>
      </c>
      <c r="D12" s="1">
        <f t="shared" si="2"/>
        <v>16.100000000000001</v>
      </c>
      <c r="E12" s="12">
        <f t="shared" si="3"/>
        <v>32.799999999999997</v>
      </c>
      <c r="F12" s="8">
        <f t="shared" si="4"/>
        <v>16.100000000000001</v>
      </c>
    </row>
    <row r="13" spans="1:7" ht="14.4" x14ac:dyDescent="0.3">
      <c r="A13" s="7" t="s">
        <v>15</v>
      </c>
      <c r="B13" s="1">
        <f t="shared" si="0"/>
        <v>11.6</v>
      </c>
      <c r="C13" s="1">
        <f t="shared" si="1"/>
        <v>23.6</v>
      </c>
      <c r="D13" s="1">
        <f t="shared" si="2"/>
        <v>21.3</v>
      </c>
      <c r="E13" s="12">
        <f t="shared" si="3"/>
        <v>43</v>
      </c>
      <c r="F13" s="8">
        <f t="shared" si="4"/>
        <v>21.3</v>
      </c>
    </row>
    <row r="14" spans="1:7" ht="14.4" x14ac:dyDescent="0.3">
      <c r="A14" s="7" t="s">
        <v>16</v>
      </c>
      <c r="B14" s="1">
        <f t="shared" si="0"/>
        <v>16.100000000000001</v>
      </c>
      <c r="C14" s="1">
        <f t="shared" si="1"/>
        <v>32.799999999999997</v>
      </c>
      <c r="D14" s="1">
        <f t="shared" si="2"/>
        <v>29.1</v>
      </c>
      <c r="E14" s="12">
        <f t="shared" si="3"/>
        <v>59</v>
      </c>
      <c r="F14" s="8">
        <f t="shared" si="4"/>
        <v>29.1</v>
      </c>
    </row>
    <row r="15" spans="1:7" ht="14.4" x14ac:dyDescent="0.3">
      <c r="A15" s="7" t="s">
        <v>18</v>
      </c>
      <c r="B15" s="1">
        <f t="shared" si="0"/>
        <v>18.399999999999999</v>
      </c>
      <c r="C15" s="1">
        <f t="shared" si="1"/>
        <v>37.200000000000003</v>
      </c>
      <c r="D15" s="1">
        <f t="shared" si="2"/>
        <v>33.799999999999997</v>
      </c>
      <c r="E15" s="12">
        <f t="shared" si="3"/>
        <v>67.900000000000006</v>
      </c>
      <c r="F15" s="8">
        <f t="shared" si="4"/>
        <v>33.799999999999997</v>
      </c>
    </row>
    <row r="16" spans="1:7" ht="14.4" x14ac:dyDescent="0.3">
      <c r="A16" s="7" t="s">
        <v>20</v>
      </c>
      <c r="B16" s="1">
        <f t="shared" si="0"/>
        <v>0</v>
      </c>
      <c r="C16" s="1">
        <f t="shared" si="1"/>
        <v>0</v>
      </c>
      <c r="D16" s="1">
        <f t="shared" si="2"/>
        <v>0</v>
      </c>
      <c r="E16" s="12">
        <f t="shared" si="3"/>
        <v>0</v>
      </c>
      <c r="F16" s="8">
        <f t="shared" si="4"/>
        <v>0</v>
      </c>
    </row>
    <row r="17" spans="1:6" ht="14.4" x14ac:dyDescent="0.3">
      <c r="A17" s="7" t="s">
        <v>22</v>
      </c>
      <c r="B17" s="1">
        <f t="shared" si="0"/>
        <v>21.9</v>
      </c>
      <c r="C17" s="1">
        <f t="shared" si="1"/>
        <v>42.3</v>
      </c>
      <c r="D17" s="1">
        <f t="shared" si="2"/>
        <v>40.1</v>
      </c>
      <c r="E17" s="12">
        <f t="shared" si="3"/>
        <v>76.599999999999994</v>
      </c>
      <c r="F17" s="8">
        <f t="shared" si="4"/>
        <v>40.1</v>
      </c>
    </row>
    <row r="18" spans="1:6" ht="14.4" x14ac:dyDescent="0.3">
      <c r="A18" s="7" t="s">
        <v>23</v>
      </c>
      <c r="B18" s="1">
        <f t="shared" si="0"/>
        <v>23.5</v>
      </c>
      <c r="C18" s="1">
        <f t="shared" si="1"/>
        <v>47.7</v>
      </c>
      <c r="D18" s="1">
        <f t="shared" si="2"/>
        <v>42.7</v>
      </c>
      <c r="E18" s="12">
        <f t="shared" si="3"/>
        <v>86.6</v>
      </c>
      <c r="F18" s="8">
        <f t="shared" si="4"/>
        <v>42.7</v>
      </c>
    </row>
    <row r="19" spans="1:6" ht="14.4" x14ac:dyDescent="0.3">
      <c r="A19" s="7" t="s">
        <v>24</v>
      </c>
      <c r="B19" s="1">
        <f t="shared" si="0"/>
        <v>26.8</v>
      </c>
      <c r="C19" s="1">
        <f t="shared" si="1"/>
        <v>54.6</v>
      </c>
      <c r="D19" s="1">
        <f t="shared" si="2"/>
        <v>47.9</v>
      </c>
      <c r="E19" s="12">
        <f t="shared" si="3"/>
        <v>96.8</v>
      </c>
      <c r="F19" s="8">
        <f t="shared" si="4"/>
        <v>47.9</v>
      </c>
    </row>
    <row r="20" spans="1:6" ht="14.4" x14ac:dyDescent="0.3">
      <c r="A20" s="7" t="s">
        <v>28</v>
      </c>
      <c r="B20" s="1">
        <f t="shared" si="0"/>
        <v>28</v>
      </c>
      <c r="C20" s="1">
        <f t="shared" si="1"/>
        <v>56.7</v>
      </c>
      <c r="D20" s="1">
        <f t="shared" si="2"/>
        <v>50.1</v>
      </c>
      <c r="E20" s="12">
        <f t="shared" si="3"/>
        <v>101.3</v>
      </c>
      <c r="F20" s="8">
        <f t="shared" si="4"/>
        <v>50.1</v>
      </c>
    </row>
    <row r="21" spans="1:6" ht="14.4" x14ac:dyDescent="0.3">
      <c r="A21" s="7" t="s">
        <v>57</v>
      </c>
      <c r="B21" s="1">
        <f t="shared" si="0"/>
        <v>28.5</v>
      </c>
      <c r="C21" s="1">
        <f t="shared" si="1"/>
        <v>58.3</v>
      </c>
      <c r="D21" s="1">
        <f t="shared" si="2"/>
        <v>52.3</v>
      </c>
      <c r="E21" s="12">
        <f t="shared" si="3"/>
        <v>106.1</v>
      </c>
      <c r="F21" s="8">
        <f t="shared" si="4"/>
        <v>52.3</v>
      </c>
    </row>
    <row r="22" spans="1:6" ht="14.4" x14ac:dyDescent="0.3">
      <c r="A22" s="7" t="s">
        <v>58</v>
      </c>
      <c r="B22" s="1">
        <f t="shared" si="0"/>
        <v>29.1</v>
      </c>
      <c r="C22" s="1">
        <f t="shared" si="1"/>
        <v>59</v>
      </c>
      <c r="D22" s="1">
        <f t="shared" si="2"/>
        <v>53.7</v>
      </c>
      <c r="E22" s="12">
        <f t="shared" si="3"/>
        <v>108.8</v>
      </c>
      <c r="F22" s="8">
        <f t="shared" si="4"/>
        <v>53.7</v>
      </c>
    </row>
    <row r="23" spans="1:6" ht="14.4" x14ac:dyDescent="0.3">
      <c r="A23" s="7" t="s">
        <v>31</v>
      </c>
      <c r="B23" s="1">
        <f t="shared" si="0"/>
        <v>30.7</v>
      </c>
      <c r="C23" s="1">
        <f t="shared" si="1"/>
        <v>62.5</v>
      </c>
      <c r="D23" s="1">
        <f t="shared" si="2"/>
        <v>57</v>
      </c>
      <c r="E23" s="12">
        <f t="shared" si="3"/>
        <v>115.1</v>
      </c>
      <c r="F23" s="8">
        <f t="shared" si="4"/>
        <v>57</v>
      </c>
    </row>
    <row r="24" spans="1:6" ht="14.4" x14ac:dyDescent="0.3">
      <c r="A24" s="7" t="s">
        <v>32</v>
      </c>
      <c r="B24" s="1">
        <f t="shared" si="0"/>
        <v>33.799999999999997</v>
      </c>
      <c r="C24" s="1">
        <f t="shared" si="1"/>
        <v>67.900000000000006</v>
      </c>
      <c r="D24" s="1">
        <f t="shared" si="2"/>
        <v>61.4</v>
      </c>
      <c r="E24" s="12">
        <f t="shared" si="3"/>
        <v>124.4</v>
      </c>
      <c r="F24" s="8">
        <f t="shared" si="4"/>
        <v>61.4</v>
      </c>
    </row>
    <row r="25" spans="1:6" ht="14.4" x14ac:dyDescent="0.3">
      <c r="A25" s="7" t="s">
        <v>34</v>
      </c>
      <c r="B25" s="1">
        <f t="shared" si="0"/>
        <v>34.700000000000003</v>
      </c>
      <c r="C25" s="1">
        <f t="shared" si="1"/>
        <v>70.8</v>
      </c>
      <c r="D25" s="1">
        <f t="shared" si="2"/>
        <v>63.6</v>
      </c>
      <c r="E25" s="12">
        <f t="shared" si="3"/>
        <v>128.6</v>
      </c>
      <c r="F25" s="8">
        <f t="shared" si="4"/>
        <v>63.6</v>
      </c>
    </row>
    <row r="26" spans="1:6" ht="14.4" x14ac:dyDescent="0.3">
      <c r="A26" s="7" t="s">
        <v>37</v>
      </c>
      <c r="B26" s="1">
        <f t="shared" si="0"/>
        <v>36.5</v>
      </c>
      <c r="C26" s="1">
        <f t="shared" si="1"/>
        <v>73.900000000000006</v>
      </c>
      <c r="D26" s="1">
        <f t="shared" si="2"/>
        <v>65.900000000000006</v>
      </c>
      <c r="E26" s="12">
        <f t="shared" si="3"/>
        <v>133.4</v>
      </c>
      <c r="F26" s="8">
        <f t="shared" si="4"/>
        <v>65.900000000000006</v>
      </c>
    </row>
    <row r="27" spans="1:6" ht="14.4" x14ac:dyDescent="0.3">
      <c r="A27" s="7" t="s">
        <v>39</v>
      </c>
      <c r="B27" s="1">
        <f t="shared" si="0"/>
        <v>38</v>
      </c>
      <c r="C27" s="1">
        <f t="shared" si="1"/>
        <v>76.599999999999994</v>
      </c>
      <c r="D27" s="1">
        <f t="shared" si="2"/>
        <v>68.7</v>
      </c>
      <c r="E27" s="12">
        <f t="shared" si="3"/>
        <v>138.80000000000001</v>
      </c>
      <c r="F27" s="8">
        <f t="shared" si="4"/>
        <v>68.7</v>
      </c>
    </row>
    <row r="28" spans="1:6" ht="14.4" x14ac:dyDescent="0.3">
      <c r="A28" s="19" t="s">
        <v>82</v>
      </c>
      <c r="B28" s="31">
        <f>MIN(B6:B27)</f>
        <v>0</v>
      </c>
      <c r="C28" s="31">
        <f>MIN(C6:C27)</f>
        <v>0</v>
      </c>
      <c r="D28" s="31">
        <f t="shared" ref="D28:F28" si="5">MIN(D6:D27)</f>
        <v>0</v>
      </c>
      <c r="E28" s="31">
        <f t="shared" si="5"/>
        <v>0</v>
      </c>
      <c r="F28" s="31">
        <f t="shared" si="5"/>
        <v>0</v>
      </c>
    </row>
    <row r="29" spans="1:6" ht="14.4" x14ac:dyDescent="0.3">
      <c r="A29" s="19" t="s">
        <v>83</v>
      </c>
      <c r="B29" s="31">
        <f>MAX(B6:B28)</f>
        <v>38</v>
      </c>
      <c r="C29" s="31">
        <f>MAX(C6:C28)</f>
        <v>76.599999999999994</v>
      </c>
      <c r="D29" s="31">
        <f t="shared" ref="D29:F29" si="6">MAX(D6:D28)</f>
        <v>68.7</v>
      </c>
      <c r="E29" s="31">
        <f t="shared" si="6"/>
        <v>138.80000000000001</v>
      </c>
      <c r="F29" s="31">
        <f t="shared" si="6"/>
        <v>68.7</v>
      </c>
    </row>
    <row r="30" spans="1:6" ht="14.4" x14ac:dyDescent="0.3">
      <c r="A30" s="19" t="s">
        <v>84</v>
      </c>
      <c r="B30" s="31">
        <f>AVERAGE(B6:B29)</f>
        <v>18.858333333333334</v>
      </c>
      <c r="C30" s="31">
        <f>AVERAGE(C6:C29)</f>
        <v>38.15</v>
      </c>
      <c r="D30" s="31">
        <f t="shared" ref="D30:F30" si="7">AVERAGE(D6:D29)</f>
        <v>34.104166666666671</v>
      </c>
      <c r="E30" s="31">
        <f t="shared" si="7"/>
        <v>68.899999999999991</v>
      </c>
      <c r="F30" s="31">
        <f t="shared" si="7"/>
        <v>34.104166666666671</v>
      </c>
    </row>
    <row r="33" spans="1:24" ht="14.4" x14ac:dyDescent="0.3">
      <c r="A33" s="27" t="s">
        <v>64</v>
      </c>
      <c r="B33" s="27" t="s">
        <v>43</v>
      </c>
      <c r="C33" s="27" t="s">
        <v>0</v>
      </c>
      <c r="D33" s="28" t="s">
        <v>1</v>
      </c>
      <c r="E33" s="27" t="s">
        <v>2</v>
      </c>
      <c r="F33" s="28" t="s">
        <v>3</v>
      </c>
      <c r="G33" s="29" t="s">
        <v>79</v>
      </c>
      <c r="H33" s="29" t="s">
        <v>65</v>
      </c>
      <c r="I33" s="29" t="s">
        <v>66</v>
      </c>
      <c r="J33" s="30" t="s">
        <v>67</v>
      </c>
      <c r="K33" s="30" t="s">
        <v>68</v>
      </c>
      <c r="L33" s="30" t="s">
        <v>69</v>
      </c>
      <c r="M33" s="29" t="s">
        <v>70</v>
      </c>
      <c r="N33" s="29" t="s">
        <v>71</v>
      </c>
      <c r="O33" s="29" t="s">
        <v>72</v>
      </c>
      <c r="P33" s="30" t="s">
        <v>73</v>
      </c>
      <c r="Q33" s="30" t="s">
        <v>74</v>
      </c>
      <c r="R33" s="30" t="s">
        <v>75</v>
      </c>
      <c r="S33" s="29" t="s">
        <v>80</v>
      </c>
      <c r="T33" s="29" t="s">
        <v>76</v>
      </c>
      <c r="U33" s="30" t="s">
        <v>81</v>
      </c>
      <c r="V33" s="30" t="s">
        <v>77</v>
      </c>
      <c r="W33" s="30" t="s">
        <v>78</v>
      </c>
      <c r="X33" s="47" t="s">
        <v>105</v>
      </c>
    </row>
    <row r="34" spans="1:24" ht="14.4" x14ac:dyDescent="0.3">
      <c r="A34" s="1" t="s">
        <v>40</v>
      </c>
      <c r="B34" s="1">
        <v>20000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2.7</v>
      </c>
      <c r="H34" s="1">
        <v>3.6</v>
      </c>
      <c r="I34" s="1">
        <v>4.2</v>
      </c>
      <c r="J34" s="1">
        <v>-1</v>
      </c>
      <c r="K34" s="1">
        <v>-1</v>
      </c>
      <c r="L34" s="1">
        <v>-1</v>
      </c>
      <c r="M34" s="1">
        <v>5.3</v>
      </c>
      <c r="N34" s="1">
        <v>7.6</v>
      </c>
      <c r="O34" s="1">
        <v>8.9</v>
      </c>
      <c r="P34" s="1">
        <v>2.7</v>
      </c>
      <c r="Q34" s="1">
        <v>3.6</v>
      </c>
      <c r="R34" s="1">
        <v>4.2</v>
      </c>
      <c r="S34" s="1">
        <v>7.6</v>
      </c>
      <c r="T34" s="1">
        <v>8.9</v>
      </c>
      <c r="U34" s="1">
        <v>3.6</v>
      </c>
      <c r="V34" s="1">
        <v>4.2</v>
      </c>
      <c r="W34" s="1">
        <v>4.2</v>
      </c>
      <c r="X34" s="48">
        <v>45051</v>
      </c>
    </row>
    <row r="35" spans="1:24" ht="14.4" x14ac:dyDescent="0.3">
      <c r="A35" s="1" t="s">
        <v>4</v>
      </c>
      <c r="B35" s="1">
        <v>20002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2.7</v>
      </c>
      <c r="H35" s="1">
        <v>3.6</v>
      </c>
      <c r="I35" s="1">
        <v>4.2</v>
      </c>
      <c r="J35" s="1">
        <v>-1</v>
      </c>
      <c r="K35" s="1">
        <v>-1</v>
      </c>
      <c r="L35" s="1">
        <v>-1</v>
      </c>
      <c r="M35" s="1">
        <v>5.3</v>
      </c>
      <c r="N35" s="1">
        <v>7.6</v>
      </c>
      <c r="O35" s="1">
        <v>8.9</v>
      </c>
      <c r="P35" s="1">
        <v>2.7</v>
      </c>
      <c r="Q35" s="1">
        <v>3.6</v>
      </c>
      <c r="R35" s="1">
        <v>4.2</v>
      </c>
      <c r="S35" s="1">
        <v>7.6</v>
      </c>
      <c r="T35" s="1">
        <v>8.9</v>
      </c>
      <c r="U35" s="1">
        <v>3.6</v>
      </c>
      <c r="V35" s="1">
        <v>4.2</v>
      </c>
      <c r="W35" s="1">
        <v>4.2</v>
      </c>
      <c r="X35" s="48">
        <v>45048</v>
      </c>
    </row>
    <row r="36" spans="1:24" ht="14.4" x14ac:dyDescent="0.3">
      <c r="A36" s="1" t="s">
        <v>7</v>
      </c>
      <c r="B36" s="1">
        <v>20004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3.6</v>
      </c>
      <c r="H36" s="1">
        <v>5.4</v>
      </c>
      <c r="I36" s="1">
        <v>5.8</v>
      </c>
      <c r="J36" s="1">
        <v>-1</v>
      </c>
      <c r="K36" s="1">
        <v>-1</v>
      </c>
      <c r="L36" s="1">
        <v>-1</v>
      </c>
      <c r="M36" s="1">
        <v>7.6</v>
      </c>
      <c r="N36" s="1">
        <v>11.1</v>
      </c>
      <c r="O36" s="1">
        <v>12.2</v>
      </c>
      <c r="P36" s="1">
        <v>3.6</v>
      </c>
      <c r="Q36" s="1">
        <v>5.4</v>
      </c>
      <c r="R36" s="1">
        <v>5.8</v>
      </c>
      <c r="S36" s="1">
        <v>11.1</v>
      </c>
      <c r="T36" s="1">
        <v>12.2</v>
      </c>
      <c r="U36" s="1">
        <v>5.4</v>
      </c>
      <c r="V36" s="1">
        <v>5.8</v>
      </c>
      <c r="W36" s="1">
        <v>5.8</v>
      </c>
      <c r="X36" s="48">
        <v>45055</v>
      </c>
    </row>
    <row r="37" spans="1:24" ht="14.4" x14ac:dyDescent="0.3">
      <c r="A37" s="1" t="s">
        <v>8</v>
      </c>
      <c r="B37" s="1">
        <v>20006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4.9000000000000004</v>
      </c>
      <c r="H37" s="1">
        <v>6.6</v>
      </c>
      <c r="I37" s="1">
        <v>8.1</v>
      </c>
      <c r="J37" s="1">
        <v>-1</v>
      </c>
      <c r="K37" s="1">
        <v>-1</v>
      </c>
      <c r="L37" s="1">
        <v>-1</v>
      </c>
      <c r="M37" s="1">
        <v>10</v>
      </c>
      <c r="N37" s="1">
        <v>13.3</v>
      </c>
      <c r="O37" s="1">
        <v>17</v>
      </c>
      <c r="P37" s="1">
        <v>4.9000000000000004</v>
      </c>
      <c r="Q37" s="1">
        <v>6.6</v>
      </c>
      <c r="R37" s="1">
        <v>8.1</v>
      </c>
      <c r="S37" s="1">
        <v>13.3</v>
      </c>
      <c r="T37" s="1">
        <v>17</v>
      </c>
      <c r="U37" s="1">
        <v>6.6</v>
      </c>
      <c r="V37" s="1">
        <v>8.1</v>
      </c>
      <c r="W37" s="1">
        <v>8.1</v>
      </c>
      <c r="X37" s="48">
        <v>45059</v>
      </c>
    </row>
    <row r="38" spans="1:24" ht="14.4" x14ac:dyDescent="0.3">
      <c r="A38" s="1" t="s">
        <v>9</v>
      </c>
      <c r="B38" s="1">
        <v>20008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6.6</v>
      </c>
      <c r="H38" s="1">
        <v>8.8000000000000007</v>
      </c>
      <c r="I38" s="1">
        <v>11</v>
      </c>
      <c r="J38" s="1">
        <v>-1</v>
      </c>
      <c r="K38" s="1">
        <v>-1</v>
      </c>
      <c r="L38" s="1">
        <v>-1</v>
      </c>
      <c r="M38" s="1">
        <v>13.3</v>
      </c>
      <c r="N38" s="1">
        <v>18</v>
      </c>
      <c r="O38" s="1">
        <v>22.5</v>
      </c>
      <c r="P38" s="1">
        <v>6.6</v>
      </c>
      <c r="Q38" s="1">
        <v>8.8000000000000007</v>
      </c>
      <c r="R38" s="1">
        <v>11</v>
      </c>
      <c r="S38" s="1">
        <v>18</v>
      </c>
      <c r="T38" s="1">
        <v>22.5</v>
      </c>
      <c r="U38" s="1">
        <v>8.8000000000000007</v>
      </c>
      <c r="V38" s="1">
        <v>11</v>
      </c>
      <c r="W38" s="1">
        <v>11</v>
      </c>
      <c r="X38" s="48">
        <v>45076</v>
      </c>
    </row>
    <row r="39" spans="1:24" ht="14.4" x14ac:dyDescent="0.3">
      <c r="A39" s="1" t="s">
        <v>10</v>
      </c>
      <c r="B39" s="1">
        <v>20010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7.1</v>
      </c>
      <c r="H39" s="1">
        <v>10.4</v>
      </c>
      <c r="I39" s="1">
        <v>12.8</v>
      </c>
      <c r="J39" s="1">
        <v>-1</v>
      </c>
      <c r="K39" s="1">
        <v>-1</v>
      </c>
      <c r="L39" s="1">
        <v>-1</v>
      </c>
      <c r="M39" s="1">
        <v>14.4</v>
      </c>
      <c r="N39" s="1">
        <v>21.5</v>
      </c>
      <c r="O39" s="1">
        <v>26.1</v>
      </c>
      <c r="P39" s="1">
        <v>7.1</v>
      </c>
      <c r="Q39" s="1">
        <v>10.4</v>
      </c>
      <c r="R39" s="1">
        <v>12.8</v>
      </c>
      <c r="S39" s="1">
        <v>21.5</v>
      </c>
      <c r="T39" s="1">
        <v>26.1</v>
      </c>
      <c r="U39" s="1">
        <v>10.4</v>
      </c>
      <c r="V39" s="1">
        <v>12.8</v>
      </c>
      <c r="W39" s="1">
        <v>12.8</v>
      </c>
      <c r="X39" s="48">
        <v>45057</v>
      </c>
    </row>
    <row r="40" spans="1:24" ht="14.4" x14ac:dyDescent="0.3">
      <c r="A40" s="1" t="s">
        <v>11</v>
      </c>
      <c r="B40" s="1">
        <v>20012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9.4</v>
      </c>
      <c r="H40" s="1">
        <v>13.8</v>
      </c>
      <c r="I40" s="1">
        <v>16.100000000000001</v>
      </c>
      <c r="J40" s="1">
        <v>-1</v>
      </c>
      <c r="K40" s="1">
        <v>-1</v>
      </c>
      <c r="L40" s="1">
        <v>-1</v>
      </c>
      <c r="M40" s="1">
        <v>19.2</v>
      </c>
      <c r="N40" s="1">
        <v>28.3</v>
      </c>
      <c r="O40" s="1">
        <v>32.799999999999997</v>
      </c>
      <c r="P40" s="1">
        <v>9.4</v>
      </c>
      <c r="Q40" s="1">
        <v>13.8</v>
      </c>
      <c r="R40" s="1">
        <v>16.100000000000001</v>
      </c>
      <c r="S40" s="1">
        <v>28.3</v>
      </c>
      <c r="T40" s="1">
        <v>32.799999999999997</v>
      </c>
      <c r="U40" s="1">
        <v>13.8</v>
      </c>
      <c r="V40" s="1">
        <v>16.100000000000001</v>
      </c>
      <c r="W40" s="1">
        <v>16.100000000000001</v>
      </c>
      <c r="X40" s="48">
        <v>45052</v>
      </c>
    </row>
    <row r="41" spans="1:24" ht="14.4" x14ac:dyDescent="0.3">
      <c r="A41" s="1" t="s">
        <v>12</v>
      </c>
      <c r="B41" s="1">
        <v>20014</v>
      </c>
      <c r="C41" s="1" t="s">
        <v>5</v>
      </c>
      <c r="D41" s="24">
        <v>0</v>
      </c>
      <c r="E41" s="1" t="s">
        <v>6</v>
      </c>
      <c r="F41" s="24">
        <v>0.99998842592592596</v>
      </c>
      <c r="G41" s="1">
        <v>11.6</v>
      </c>
      <c r="H41" s="1">
        <v>17.3</v>
      </c>
      <c r="I41" s="1">
        <v>21.3</v>
      </c>
      <c r="J41" s="1">
        <v>-1</v>
      </c>
      <c r="K41" s="1">
        <v>-1</v>
      </c>
      <c r="L41" s="1">
        <v>-1</v>
      </c>
      <c r="M41" s="1">
        <v>23.6</v>
      </c>
      <c r="N41" s="1">
        <v>35.200000000000003</v>
      </c>
      <c r="O41" s="1">
        <v>43</v>
      </c>
      <c r="P41" s="1">
        <v>11.6</v>
      </c>
      <c r="Q41" s="1">
        <v>17.3</v>
      </c>
      <c r="R41" s="1">
        <v>21.3</v>
      </c>
      <c r="S41" s="1">
        <v>35.200000000000003</v>
      </c>
      <c r="T41" s="1">
        <v>43</v>
      </c>
      <c r="U41" s="1">
        <v>17.3</v>
      </c>
      <c r="V41" s="1">
        <v>21.3</v>
      </c>
      <c r="W41" s="1">
        <v>21.3</v>
      </c>
      <c r="X41" s="48">
        <v>45098</v>
      </c>
    </row>
    <row r="42" spans="1:24" ht="14.4" x14ac:dyDescent="0.3">
      <c r="A42" s="1" t="s">
        <v>13</v>
      </c>
      <c r="B42" s="1">
        <v>20016</v>
      </c>
      <c r="C42" s="1" t="s">
        <v>5</v>
      </c>
      <c r="D42" s="24">
        <v>0</v>
      </c>
      <c r="E42" s="1" t="s">
        <v>6</v>
      </c>
      <c r="F42" s="24">
        <v>0.99998842592592596</v>
      </c>
      <c r="G42" s="1">
        <v>16.100000000000001</v>
      </c>
      <c r="H42" s="1">
        <v>24.1</v>
      </c>
      <c r="I42" s="1">
        <v>29.1</v>
      </c>
      <c r="J42" s="1">
        <v>-1</v>
      </c>
      <c r="K42" s="1">
        <v>-1</v>
      </c>
      <c r="L42" s="1">
        <v>-1</v>
      </c>
      <c r="M42" s="1">
        <v>32.799999999999997</v>
      </c>
      <c r="N42" s="1">
        <v>49</v>
      </c>
      <c r="O42" s="1">
        <v>59</v>
      </c>
      <c r="P42" s="1">
        <v>16.100000000000001</v>
      </c>
      <c r="Q42" s="1">
        <v>24.1</v>
      </c>
      <c r="R42" s="1">
        <v>29.1</v>
      </c>
      <c r="S42" s="1">
        <v>49</v>
      </c>
      <c r="T42" s="1">
        <v>59</v>
      </c>
      <c r="U42" s="1">
        <v>24.1</v>
      </c>
      <c r="V42" s="1">
        <v>29.1</v>
      </c>
      <c r="W42" s="1">
        <v>29.1</v>
      </c>
      <c r="X42" s="48">
        <v>45092</v>
      </c>
    </row>
    <row r="43" spans="1:24" ht="14.4" x14ac:dyDescent="0.3">
      <c r="A43" s="1" t="s">
        <v>14</v>
      </c>
      <c r="B43" s="1">
        <v>20018</v>
      </c>
      <c r="C43" s="1" t="s">
        <v>5</v>
      </c>
      <c r="D43" s="24">
        <v>0</v>
      </c>
      <c r="E43" s="1" t="s">
        <v>6</v>
      </c>
      <c r="F43" s="24">
        <v>0.99998842592592596</v>
      </c>
      <c r="G43" s="1">
        <v>18.399999999999999</v>
      </c>
      <c r="H43" s="1">
        <v>27.5</v>
      </c>
      <c r="I43" s="1">
        <v>33.799999999999997</v>
      </c>
      <c r="J43" s="1">
        <v>-1</v>
      </c>
      <c r="K43" s="1">
        <v>-1</v>
      </c>
      <c r="L43" s="1">
        <v>-1</v>
      </c>
      <c r="M43" s="1">
        <v>37.200000000000003</v>
      </c>
      <c r="N43" s="1">
        <v>55.6</v>
      </c>
      <c r="O43" s="1">
        <v>67.900000000000006</v>
      </c>
      <c r="P43" s="1">
        <v>18.399999999999999</v>
      </c>
      <c r="Q43" s="1">
        <v>27.5</v>
      </c>
      <c r="R43" s="1">
        <v>33.799999999999997</v>
      </c>
      <c r="S43" s="1">
        <v>55.6</v>
      </c>
      <c r="T43" s="1">
        <v>67.900000000000006</v>
      </c>
      <c r="U43" s="1">
        <v>27.5</v>
      </c>
      <c r="V43" s="1">
        <v>33.799999999999997</v>
      </c>
      <c r="W43" s="1">
        <v>33.799999999999997</v>
      </c>
      <c r="X43" s="48">
        <v>45104</v>
      </c>
    </row>
    <row r="44" spans="1:24" ht="14.4" x14ac:dyDescent="0.3">
      <c r="A44" s="1" t="s">
        <v>15</v>
      </c>
      <c r="B44" s="1">
        <v>20020</v>
      </c>
      <c r="C44" s="1" t="s">
        <v>5</v>
      </c>
      <c r="D44" s="24">
        <v>0</v>
      </c>
      <c r="E44" s="1" t="s">
        <v>6</v>
      </c>
      <c r="F44" s="24">
        <v>0.99998842592592596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48">
        <v>45116</v>
      </c>
    </row>
    <row r="45" spans="1:24" ht="14.4" x14ac:dyDescent="0.3">
      <c r="A45" s="1" t="s">
        <v>16</v>
      </c>
      <c r="B45" s="1">
        <v>20022</v>
      </c>
      <c r="C45" s="1" t="s">
        <v>5</v>
      </c>
      <c r="D45" s="24">
        <v>0</v>
      </c>
      <c r="E45" s="1" t="s">
        <v>6</v>
      </c>
      <c r="F45" s="24">
        <v>0.99998842592592596</v>
      </c>
      <c r="G45" s="1">
        <v>21.9</v>
      </c>
      <c r="H45" s="1">
        <v>32.1</v>
      </c>
      <c r="I45" s="1">
        <v>40.1</v>
      </c>
      <c r="J45" s="1">
        <v>-1</v>
      </c>
      <c r="K45" s="1">
        <v>-1</v>
      </c>
      <c r="L45" s="1">
        <v>-1</v>
      </c>
      <c r="M45" s="1">
        <v>42.3</v>
      </c>
      <c r="N45" s="1">
        <v>61.5</v>
      </c>
      <c r="O45" s="1">
        <v>76.599999999999994</v>
      </c>
      <c r="P45" s="1">
        <v>21.9</v>
      </c>
      <c r="Q45" s="1">
        <v>32.1</v>
      </c>
      <c r="R45" s="1">
        <v>40.1</v>
      </c>
      <c r="S45" s="1">
        <v>61.5</v>
      </c>
      <c r="T45" s="1">
        <v>76.599999999999994</v>
      </c>
      <c r="U45" s="1">
        <v>32.1</v>
      </c>
      <c r="V45" s="1">
        <v>40.1</v>
      </c>
      <c r="W45" s="1">
        <v>40.1</v>
      </c>
      <c r="X45" s="48">
        <v>45110</v>
      </c>
    </row>
    <row r="46" spans="1:24" ht="14.4" x14ac:dyDescent="0.3">
      <c r="A46" s="1" t="s">
        <v>17</v>
      </c>
      <c r="B46" s="1">
        <v>20024</v>
      </c>
      <c r="C46" s="1" t="s">
        <v>5</v>
      </c>
      <c r="D46" s="24">
        <v>0</v>
      </c>
      <c r="E46" s="1" t="s">
        <v>6</v>
      </c>
      <c r="F46" s="24">
        <v>0.99998842592592596</v>
      </c>
      <c r="G46" s="1">
        <v>23.5</v>
      </c>
      <c r="H46" s="1">
        <v>34.700000000000003</v>
      </c>
      <c r="I46" s="1">
        <v>42.7</v>
      </c>
      <c r="J46" s="1">
        <v>-1</v>
      </c>
      <c r="K46" s="1">
        <v>-1</v>
      </c>
      <c r="L46" s="1">
        <v>-1</v>
      </c>
      <c r="M46" s="1">
        <v>47.7</v>
      </c>
      <c r="N46" s="1">
        <v>70.8</v>
      </c>
      <c r="O46" s="1">
        <v>86.6</v>
      </c>
      <c r="P46" s="1">
        <v>23.5</v>
      </c>
      <c r="Q46" s="1">
        <v>34.700000000000003</v>
      </c>
      <c r="R46" s="1">
        <v>42.7</v>
      </c>
      <c r="S46" s="1">
        <v>70.8</v>
      </c>
      <c r="T46" s="1">
        <v>86.6</v>
      </c>
      <c r="U46" s="1">
        <v>34.700000000000003</v>
      </c>
      <c r="V46" s="1">
        <v>42.7</v>
      </c>
      <c r="W46" s="1">
        <v>42.7</v>
      </c>
      <c r="X46" s="48">
        <v>45095</v>
      </c>
    </row>
    <row r="47" spans="1:24" ht="14.4" x14ac:dyDescent="0.3">
      <c r="A47" s="1" t="s">
        <v>18</v>
      </c>
      <c r="B47" s="1">
        <v>20026</v>
      </c>
      <c r="C47" s="1" t="s">
        <v>5</v>
      </c>
      <c r="D47" s="24">
        <v>0</v>
      </c>
      <c r="E47" s="1" t="s">
        <v>6</v>
      </c>
      <c r="F47" s="24">
        <v>0.99998842592592596</v>
      </c>
      <c r="G47" s="1">
        <v>26.8</v>
      </c>
      <c r="H47" s="1">
        <v>39.299999999999997</v>
      </c>
      <c r="I47" s="1">
        <v>47.9</v>
      </c>
      <c r="J47" s="1">
        <v>-1</v>
      </c>
      <c r="K47" s="1">
        <v>-1</v>
      </c>
      <c r="L47" s="1">
        <v>-1</v>
      </c>
      <c r="M47" s="1">
        <v>54.6</v>
      </c>
      <c r="N47" s="1">
        <v>79.599999999999994</v>
      </c>
      <c r="O47" s="1">
        <v>96.8</v>
      </c>
      <c r="P47" s="1">
        <v>26.8</v>
      </c>
      <c r="Q47" s="1">
        <v>39.299999999999997</v>
      </c>
      <c r="R47" s="1">
        <v>47.9</v>
      </c>
      <c r="S47" s="1">
        <v>79.599999999999994</v>
      </c>
      <c r="T47" s="1">
        <v>96.8</v>
      </c>
      <c r="U47" s="1">
        <v>39.299999999999997</v>
      </c>
      <c r="V47" s="1">
        <v>47.9</v>
      </c>
      <c r="W47" s="1">
        <v>47.9</v>
      </c>
      <c r="X47" s="48">
        <v>45113</v>
      </c>
    </row>
    <row r="48" spans="1:24" ht="14.4" x14ac:dyDescent="0.3">
      <c r="A48" s="1" t="s">
        <v>19</v>
      </c>
      <c r="B48" s="1">
        <v>20028</v>
      </c>
      <c r="C48" s="1" t="s">
        <v>5</v>
      </c>
      <c r="D48" s="24">
        <v>0</v>
      </c>
      <c r="E48" s="1" t="s">
        <v>6</v>
      </c>
      <c r="F48" s="24">
        <v>0.99998842592592596</v>
      </c>
      <c r="G48" s="1">
        <v>28</v>
      </c>
      <c r="H48" s="1">
        <v>41</v>
      </c>
      <c r="I48" s="1">
        <v>50.1</v>
      </c>
      <c r="J48" s="1">
        <v>-1</v>
      </c>
      <c r="K48" s="1">
        <v>-1</v>
      </c>
      <c r="L48" s="1">
        <v>-1</v>
      </c>
      <c r="M48" s="1">
        <v>56.7</v>
      </c>
      <c r="N48" s="1">
        <v>83.2</v>
      </c>
      <c r="O48" s="1">
        <v>101.3</v>
      </c>
      <c r="P48" s="1">
        <v>28</v>
      </c>
      <c r="Q48" s="1">
        <v>41</v>
      </c>
      <c r="R48" s="1">
        <v>50.1</v>
      </c>
      <c r="S48" s="1">
        <v>83.2</v>
      </c>
      <c r="T48" s="1">
        <v>101.3</v>
      </c>
      <c r="U48" s="1">
        <v>41</v>
      </c>
      <c r="V48" s="1">
        <v>50.1</v>
      </c>
      <c r="W48" s="1">
        <v>50.1</v>
      </c>
      <c r="X48" s="48">
        <v>45063</v>
      </c>
    </row>
    <row r="49" spans="1:24" ht="14.4" x14ac:dyDescent="0.3">
      <c r="A49" s="1" t="s">
        <v>20</v>
      </c>
      <c r="B49" s="1">
        <v>20030</v>
      </c>
      <c r="C49" s="1" t="s">
        <v>5</v>
      </c>
      <c r="D49" s="24">
        <v>0</v>
      </c>
      <c r="E49" s="1" t="s">
        <v>6</v>
      </c>
      <c r="F49" s="24">
        <v>0.99998842592592596</v>
      </c>
      <c r="G49" s="1">
        <v>28.5</v>
      </c>
      <c r="H49" s="1">
        <v>42.3</v>
      </c>
      <c r="I49" s="1">
        <v>52.3</v>
      </c>
      <c r="J49" s="1">
        <v>-1</v>
      </c>
      <c r="K49" s="1">
        <v>-1</v>
      </c>
      <c r="L49" s="1">
        <v>-1</v>
      </c>
      <c r="M49" s="1">
        <v>58.3</v>
      </c>
      <c r="N49" s="1">
        <v>85.4</v>
      </c>
      <c r="O49" s="1">
        <v>106.1</v>
      </c>
      <c r="P49" s="1">
        <v>28.5</v>
      </c>
      <c r="Q49" s="1">
        <v>42.3</v>
      </c>
      <c r="R49" s="1">
        <v>52.3</v>
      </c>
      <c r="S49" s="1">
        <v>85.4</v>
      </c>
      <c r="T49" s="1">
        <v>106.1</v>
      </c>
      <c r="U49" s="1">
        <v>42.3</v>
      </c>
      <c r="V49" s="1">
        <v>52.3</v>
      </c>
      <c r="W49" s="1">
        <v>52.3</v>
      </c>
      <c r="X49" s="48">
        <v>45071</v>
      </c>
    </row>
    <row r="50" spans="1:24" ht="14.4" x14ac:dyDescent="0.3">
      <c r="A50" s="1" t="s">
        <v>21</v>
      </c>
      <c r="B50" s="1">
        <v>20032</v>
      </c>
      <c r="C50" s="1" t="s">
        <v>5</v>
      </c>
      <c r="D50" s="24">
        <v>0</v>
      </c>
      <c r="E50" s="1" t="s">
        <v>6</v>
      </c>
      <c r="F50" s="24">
        <v>0.99998842592592596</v>
      </c>
      <c r="G50" s="1">
        <v>29.1</v>
      </c>
      <c r="H50" s="1">
        <v>43.3</v>
      </c>
      <c r="I50" s="1">
        <v>53.7</v>
      </c>
      <c r="J50" s="1">
        <v>-1</v>
      </c>
      <c r="K50" s="1">
        <v>-1</v>
      </c>
      <c r="L50" s="1">
        <v>-1</v>
      </c>
      <c r="M50" s="1">
        <v>59</v>
      </c>
      <c r="N50" s="1">
        <v>87.6</v>
      </c>
      <c r="O50" s="1">
        <v>108.8</v>
      </c>
      <c r="P50" s="1">
        <v>29.1</v>
      </c>
      <c r="Q50" s="1">
        <v>43.3</v>
      </c>
      <c r="R50" s="1">
        <v>53.7</v>
      </c>
      <c r="S50" s="1">
        <v>87.6</v>
      </c>
      <c r="T50" s="1">
        <v>108.8</v>
      </c>
      <c r="U50" s="1">
        <v>43.3</v>
      </c>
      <c r="V50" s="1">
        <v>53.7</v>
      </c>
      <c r="W50" s="1">
        <v>53.7</v>
      </c>
      <c r="X50" s="48">
        <v>45085</v>
      </c>
    </row>
    <row r="51" spans="1:24" ht="14.4" x14ac:dyDescent="0.3">
      <c r="A51" s="1" t="s">
        <v>22</v>
      </c>
      <c r="B51" s="1">
        <v>20034</v>
      </c>
      <c r="C51" s="1" t="s">
        <v>5</v>
      </c>
      <c r="D51" s="24">
        <v>0</v>
      </c>
      <c r="E51" s="1" t="s">
        <v>6</v>
      </c>
      <c r="F51" s="24">
        <v>0.99998842592592596</v>
      </c>
      <c r="G51" s="1">
        <v>30.7</v>
      </c>
      <c r="H51" s="1">
        <v>45.5</v>
      </c>
      <c r="I51" s="1">
        <v>57</v>
      </c>
      <c r="J51" s="1">
        <v>-1</v>
      </c>
      <c r="K51" s="1">
        <v>-1</v>
      </c>
      <c r="L51" s="1">
        <v>-1</v>
      </c>
      <c r="M51" s="1">
        <v>62.5</v>
      </c>
      <c r="N51" s="1">
        <v>92.1</v>
      </c>
      <c r="O51" s="1">
        <v>115.1</v>
      </c>
      <c r="P51" s="1">
        <v>30.7</v>
      </c>
      <c r="Q51" s="1">
        <v>45.5</v>
      </c>
      <c r="R51" s="1">
        <v>57</v>
      </c>
      <c r="S51" s="1">
        <v>92.1</v>
      </c>
      <c r="T51" s="1">
        <v>115.1</v>
      </c>
      <c r="U51" s="1">
        <v>45.5</v>
      </c>
      <c r="V51" s="1">
        <v>57</v>
      </c>
      <c r="W51" s="1">
        <v>57</v>
      </c>
      <c r="X51" s="48">
        <v>45099</v>
      </c>
    </row>
    <row r="52" spans="1:24" ht="14.4" x14ac:dyDescent="0.3">
      <c r="A52" s="1" t="s">
        <v>23</v>
      </c>
      <c r="B52" s="1">
        <v>20036</v>
      </c>
      <c r="C52" s="1" t="s">
        <v>5</v>
      </c>
      <c r="D52" s="24">
        <v>0</v>
      </c>
      <c r="E52" s="1" t="s">
        <v>6</v>
      </c>
      <c r="F52" s="24">
        <v>0.99998842592592596</v>
      </c>
      <c r="G52" s="1">
        <v>33.799999999999997</v>
      </c>
      <c r="H52" s="1">
        <v>50.1</v>
      </c>
      <c r="I52" s="1">
        <v>61.4</v>
      </c>
      <c r="J52" s="1">
        <v>-1</v>
      </c>
      <c r="K52" s="1">
        <v>-1</v>
      </c>
      <c r="L52" s="1">
        <v>-1</v>
      </c>
      <c r="M52" s="1">
        <v>67.900000000000006</v>
      </c>
      <c r="N52" s="1">
        <v>101.3</v>
      </c>
      <c r="O52" s="1">
        <v>124.4</v>
      </c>
      <c r="P52" s="1">
        <v>33.799999999999997</v>
      </c>
      <c r="Q52" s="1">
        <v>50.1</v>
      </c>
      <c r="R52" s="1">
        <v>61.4</v>
      </c>
      <c r="S52" s="1">
        <v>101.3</v>
      </c>
      <c r="T52" s="1">
        <v>124.4</v>
      </c>
      <c r="U52" s="1">
        <v>50.1</v>
      </c>
      <c r="V52" s="1">
        <v>61.4</v>
      </c>
      <c r="W52" s="1">
        <v>61.4</v>
      </c>
      <c r="X52" s="48">
        <v>45091</v>
      </c>
    </row>
    <row r="53" spans="1:24" ht="14.4" x14ac:dyDescent="0.3">
      <c r="A53" s="1" t="s">
        <v>24</v>
      </c>
      <c r="B53" s="1">
        <v>20038</v>
      </c>
      <c r="C53" s="1" t="s">
        <v>5</v>
      </c>
      <c r="D53" s="24">
        <v>0</v>
      </c>
      <c r="E53" s="1" t="s">
        <v>6</v>
      </c>
      <c r="F53" s="24">
        <v>0.99998842592592596</v>
      </c>
      <c r="G53" s="1">
        <v>34.700000000000003</v>
      </c>
      <c r="H53" s="1">
        <v>52.3</v>
      </c>
      <c r="I53" s="1">
        <v>63.6</v>
      </c>
      <c r="J53" s="1">
        <v>-1</v>
      </c>
      <c r="K53" s="1">
        <v>-1</v>
      </c>
      <c r="L53" s="1">
        <v>-1</v>
      </c>
      <c r="M53" s="1">
        <v>70.8</v>
      </c>
      <c r="N53" s="1">
        <v>106.1</v>
      </c>
      <c r="O53" s="1">
        <v>128.6</v>
      </c>
      <c r="P53" s="1">
        <v>34.700000000000003</v>
      </c>
      <c r="Q53" s="1">
        <v>52.3</v>
      </c>
      <c r="R53" s="1">
        <v>63.6</v>
      </c>
      <c r="S53" s="1">
        <v>106.1</v>
      </c>
      <c r="T53" s="1">
        <v>128.6</v>
      </c>
      <c r="U53" s="1">
        <v>52.3</v>
      </c>
      <c r="V53" s="1">
        <v>63.6</v>
      </c>
      <c r="W53" s="1">
        <v>63.6</v>
      </c>
      <c r="X53" s="48">
        <v>45079</v>
      </c>
    </row>
    <row r="54" spans="1:24" ht="14.4" x14ac:dyDescent="0.3">
      <c r="A54" s="1" t="s">
        <v>25</v>
      </c>
      <c r="B54" s="1">
        <v>20040</v>
      </c>
      <c r="C54" s="1" t="s">
        <v>5</v>
      </c>
      <c r="D54" s="24">
        <v>0</v>
      </c>
      <c r="E54" s="1" t="s">
        <v>6</v>
      </c>
      <c r="F54" s="24">
        <v>0.99998842592592596</v>
      </c>
      <c r="G54" s="1">
        <v>36.5</v>
      </c>
      <c r="H54" s="1">
        <v>54.6</v>
      </c>
      <c r="I54" s="1">
        <v>65.900000000000006</v>
      </c>
      <c r="J54" s="1">
        <v>-1</v>
      </c>
      <c r="K54" s="1">
        <v>-1</v>
      </c>
      <c r="L54" s="1">
        <v>-1</v>
      </c>
      <c r="M54" s="1">
        <v>73.900000000000006</v>
      </c>
      <c r="N54" s="1">
        <v>110.3</v>
      </c>
      <c r="O54" s="1">
        <v>133.4</v>
      </c>
      <c r="P54" s="1">
        <v>36.5</v>
      </c>
      <c r="Q54" s="1">
        <v>54.6</v>
      </c>
      <c r="R54" s="1">
        <v>65.900000000000006</v>
      </c>
      <c r="S54" s="1">
        <v>110.3</v>
      </c>
      <c r="T54" s="1">
        <v>133.4</v>
      </c>
      <c r="U54" s="1">
        <v>54.6</v>
      </c>
      <c r="V54" s="1">
        <v>65.900000000000006</v>
      </c>
      <c r="W54" s="1">
        <v>65.900000000000006</v>
      </c>
      <c r="X54" s="48">
        <v>45075</v>
      </c>
    </row>
    <row r="55" spans="1:24" ht="14.4" x14ac:dyDescent="0.3">
      <c r="A55" s="1" t="s">
        <v>41</v>
      </c>
      <c r="B55" s="1">
        <v>20042</v>
      </c>
      <c r="C55" s="1" t="s">
        <v>5</v>
      </c>
      <c r="D55" s="24">
        <v>0</v>
      </c>
      <c r="E55" s="1" t="s">
        <v>6</v>
      </c>
      <c r="F55" s="24">
        <v>0.99998842592592596</v>
      </c>
      <c r="G55" s="1">
        <v>38</v>
      </c>
      <c r="H55" s="1">
        <v>57.2</v>
      </c>
      <c r="I55" s="1">
        <v>68.7</v>
      </c>
      <c r="J55" s="1">
        <v>-1</v>
      </c>
      <c r="K55" s="1">
        <v>-1</v>
      </c>
      <c r="L55" s="1">
        <v>-1</v>
      </c>
      <c r="M55" s="1">
        <v>76.599999999999994</v>
      </c>
      <c r="N55" s="1">
        <v>115.5</v>
      </c>
      <c r="O55" s="1">
        <v>138.80000000000001</v>
      </c>
      <c r="P55" s="1">
        <v>38</v>
      </c>
      <c r="Q55" s="1">
        <v>57.2</v>
      </c>
      <c r="R55" s="1">
        <v>68.7</v>
      </c>
      <c r="S55" s="1">
        <v>115.5</v>
      </c>
      <c r="T55" s="1">
        <v>138.80000000000001</v>
      </c>
      <c r="U55" s="1">
        <v>57.2</v>
      </c>
      <c r="V55" s="1">
        <v>68.7</v>
      </c>
      <c r="W55" s="1">
        <v>68.7</v>
      </c>
      <c r="X55" s="48">
        <v>45110</v>
      </c>
    </row>
    <row r="56" spans="1:24" ht="14.4" x14ac:dyDescent="0.3">
      <c r="A56" s="1" t="s">
        <v>26</v>
      </c>
      <c r="B56" s="1">
        <v>20044</v>
      </c>
      <c r="C56" s="1" t="s">
        <v>5</v>
      </c>
      <c r="D56" s="24">
        <v>0</v>
      </c>
      <c r="E56" s="1" t="s">
        <v>6</v>
      </c>
      <c r="F56" s="24">
        <v>0.99998842592592596</v>
      </c>
      <c r="G56" s="1">
        <v>38.700000000000003</v>
      </c>
      <c r="H56" s="1">
        <v>59.2</v>
      </c>
      <c r="I56" s="1">
        <v>70.400000000000006</v>
      </c>
      <c r="J56" s="1">
        <v>-1</v>
      </c>
      <c r="K56" s="1">
        <v>-1</v>
      </c>
      <c r="L56" s="1">
        <v>-1</v>
      </c>
      <c r="M56" s="1">
        <v>78.599999999999994</v>
      </c>
      <c r="N56" s="1">
        <v>119.4</v>
      </c>
      <c r="O56" s="1">
        <v>142.5</v>
      </c>
      <c r="P56" s="1">
        <v>38.700000000000003</v>
      </c>
      <c r="Q56" s="1">
        <v>59.2</v>
      </c>
      <c r="R56" s="1">
        <v>70.400000000000006</v>
      </c>
      <c r="S56" s="1">
        <v>119.4</v>
      </c>
      <c r="T56" s="1">
        <v>142.5</v>
      </c>
      <c r="U56" s="1">
        <v>59.2</v>
      </c>
      <c r="V56" s="1">
        <v>70.400000000000006</v>
      </c>
      <c r="W56" s="1">
        <v>70.400000000000006</v>
      </c>
      <c r="X56" s="48">
        <v>45114</v>
      </c>
    </row>
    <row r="57" spans="1:24" ht="14.4" x14ac:dyDescent="0.3">
      <c r="A57" s="1" t="s">
        <v>27</v>
      </c>
      <c r="B57" s="1">
        <v>20046</v>
      </c>
      <c r="C57" s="1" t="s">
        <v>5</v>
      </c>
      <c r="D57" s="24">
        <v>0</v>
      </c>
      <c r="E57" s="1" t="s">
        <v>6</v>
      </c>
      <c r="F57" s="24">
        <v>0.99998842592592596</v>
      </c>
      <c r="G57" s="1">
        <v>40.1</v>
      </c>
      <c r="H57" s="1">
        <v>59.2</v>
      </c>
      <c r="I57" s="1">
        <v>72.8</v>
      </c>
      <c r="J57" s="1">
        <v>-1</v>
      </c>
      <c r="K57" s="1">
        <v>-1</v>
      </c>
      <c r="L57" s="1">
        <v>-1</v>
      </c>
      <c r="M57" s="1">
        <v>80.8</v>
      </c>
      <c r="N57" s="1">
        <v>119.4</v>
      </c>
      <c r="O57" s="1">
        <v>146.80000000000001</v>
      </c>
      <c r="P57" s="1">
        <v>40.1</v>
      </c>
      <c r="Q57" s="1">
        <v>59.2</v>
      </c>
      <c r="R57" s="1">
        <v>72.8</v>
      </c>
      <c r="S57" s="1">
        <v>119.4</v>
      </c>
      <c r="T57" s="1">
        <v>146.80000000000001</v>
      </c>
      <c r="U57" s="1">
        <v>59.2</v>
      </c>
      <c r="V57" s="1">
        <v>72.8</v>
      </c>
      <c r="W57" s="1">
        <v>72.8</v>
      </c>
      <c r="X57" s="48">
        <v>45118</v>
      </c>
    </row>
    <row r="58" spans="1:24" ht="14.4" x14ac:dyDescent="0.3">
      <c r="A58" s="1" t="s">
        <v>28</v>
      </c>
      <c r="B58" s="1">
        <v>20048</v>
      </c>
      <c r="C58" s="1" t="s">
        <v>5</v>
      </c>
      <c r="D58" s="24">
        <v>0</v>
      </c>
      <c r="E58" s="1" t="s">
        <v>6</v>
      </c>
      <c r="F58" s="24">
        <v>0.99998842592592596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48">
        <v>45142</v>
      </c>
    </row>
    <row r="59" spans="1:24" ht="14.4" x14ac:dyDescent="0.3">
      <c r="A59" s="1" t="s">
        <v>57</v>
      </c>
      <c r="B59" s="1">
        <v>20050</v>
      </c>
      <c r="C59" s="1" t="s">
        <v>5</v>
      </c>
      <c r="D59" s="24">
        <v>0</v>
      </c>
      <c r="E59" s="1" t="s">
        <v>6</v>
      </c>
      <c r="F59" s="24">
        <v>0.99998842592592596</v>
      </c>
      <c r="G59" s="1">
        <v>41.3</v>
      </c>
      <c r="H59" s="1">
        <v>61.4</v>
      </c>
      <c r="I59" s="1">
        <v>75</v>
      </c>
      <c r="J59" s="1">
        <v>-1</v>
      </c>
      <c r="K59" s="1">
        <v>-1</v>
      </c>
      <c r="L59" s="1">
        <v>-1</v>
      </c>
      <c r="M59" s="1">
        <v>83.5</v>
      </c>
      <c r="N59" s="1">
        <v>124.4</v>
      </c>
      <c r="O59" s="1">
        <v>151.5</v>
      </c>
      <c r="P59" s="1">
        <v>41.3</v>
      </c>
      <c r="Q59" s="1">
        <v>61.4</v>
      </c>
      <c r="R59" s="1">
        <v>75</v>
      </c>
      <c r="S59" s="1">
        <v>124.4</v>
      </c>
      <c r="T59" s="1">
        <v>151.5</v>
      </c>
      <c r="U59" s="1">
        <v>61.4</v>
      </c>
      <c r="V59" s="1">
        <v>75</v>
      </c>
      <c r="W59" s="1">
        <v>75</v>
      </c>
      <c r="X59" s="48">
        <v>45146</v>
      </c>
    </row>
    <row r="60" spans="1:24" ht="14.4" x14ac:dyDescent="0.3">
      <c r="A60" s="1" t="s">
        <v>29</v>
      </c>
      <c r="B60" s="1">
        <v>20052</v>
      </c>
      <c r="C60" s="1" t="s">
        <v>5</v>
      </c>
      <c r="D60" s="24">
        <v>0</v>
      </c>
      <c r="E60" s="1" t="s">
        <v>6</v>
      </c>
      <c r="F60" s="24">
        <v>0.99998842592592596</v>
      </c>
      <c r="G60" s="1">
        <v>42.3</v>
      </c>
      <c r="H60" s="1">
        <v>61.4</v>
      </c>
      <c r="I60" s="1">
        <v>75</v>
      </c>
      <c r="J60" s="1">
        <v>-1</v>
      </c>
      <c r="K60" s="1">
        <v>-1</v>
      </c>
      <c r="L60" s="1">
        <v>-1</v>
      </c>
      <c r="M60" s="1">
        <v>85.4</v>
      </c>
      <c r="N60" s="1">
        <v>124.4</v>
      </c>
      <c r="O60" s="1">
        <v>151.5</v>
      </c>
      <c r="P60" s="1">
        <v>42.3</v>
      </c>
      <c r="Q60" s="1">
        <v>61.4</v>
      </c>
      <c r="R60" s="1">
        <v>75</v>
      </c>
      <c r="S60" s="1">
        <v>124.4</v>
      </c>
      <c r="T60" s="1">
        <v>151.5</v>
      </c>
      <c r="U60" s="1">
        <v>61.4</v>
      </c>
      <c r="V60" s="1">
        <v>75</v>
      </c>
      <c r="W60" s="1">
        <v>75</v>
      </c>
      <c r="X60" s="48">
        <v>45108</v>
      </c>
    </row>
    <row r="61" spans="1:24" ht="14.4" x14ac:dyDescent="0.3">
      <c r="A61" s="1" t="s">
        <v>30</v>
      </c>
      <c r="B61" s="1">
        <v>20054</v>
      </c>
      <c r="C61" s="1" t="s">
        <v>5</v>
      </c>
      <c r="D61" s="24">
        <v>0</v>
      </c>
      <c r="E61" s="1" t="s">
        <v>6</v>
      </c>
      <c r="F61" s="24">
        <v>0.99998842592592596</v>
      </c>
      <c r="G61" s="1">
        <v>43.3</v>
      </c>
      <c r="H61" s="1">
        <v>63.6</v>
      </c>
      <c r="I61" s="1">
        <v>77.2</v>
      </c>
      <c r="J61" s="1">
        <v>-1</v>
      </c>
      <c r="K61" s="1">
        <v>-1</v>
      </c>
      <c r="L61" s="1">
        <v>-1</v>
      </c>
      <c r="M61" s="1">
        <v>87.6</v>
      </c>
      <c r="N61" s="1">
        <v>128.6</v>
      </c>
      <c r="O61" s="1">
        <v>156.4</v>
      </c>
      <c r="P61" s="1">
        <v>43.3</v>
      </c>
      <c r="Q61" s="1">
        <v>63.6</v>
      </c>
      <c r="R61" s="1">
        <v>77.2</v>
      </c>
      <c r="S61" s="1">
        <v>128.6</v>
      </c>
      <c r="T61" s="1">
        <v>156.4</v>
      </c>
      <c r="U61" s="1">
        <v>63.6</v>
      </c>
      <c r="V61" s="1">
        <v>77.2</v>
      </c>
      <c r="W61" s="1">
        <v>77.2</v>
      </c>
      <c r="X61" s="48">
        <v>45153</v>
      </c>
    </row>
    <row r="62" spans="1:24" ht="14.4" x14ac:dyDescent="0.3">
      <c r="A62" s="1" t="s">
        <v>58</v>
      </c>
      <c r="B62" s="1">
        <v>20058</v>
      </c>
      <c r="C62" s="1" t="s">
        <v>5</v>
      </c>
      <c r="D62" s="24">
        <v>0</v>
      </c>
      <c r="E62" s="1" t="s">
        <v>6</v>
      </c>
      <c r="F62" s="24">
        <v>0.99998842592592596</v>
      </c>
      <c r="G62" s="1">
        <v>-1</v>
      </c>
      <c r="H62" s="1">
        <v>-1</v>
      </c>
      <c r="I62" s="1">
        <v>-1</v>
      </c>
      <c r="J62" s="1">
        <v>-1</v>
      </c>
      <c r="K62" s="1">
        <v>-1</v>
      </c>
      <c r="L62" s="1">
        <v>-1</v>
      </c>
      <c r="M62" s="1">
        <v>-1</v>
      </c>
      <c r="N62" s="1">
        <v>-1</v>
      </c>
      <c r="O62" s="1">
        <v>-1</v>
      </c>
      <c r="P62" s="1">
        <v>-1</v>
      </c>
      <c r="Q62" s="1">
        <v>-1</v>
      </c>
      <c r="R62" s="1">
        <v>-1</v>
      </c>
      <c r="S62" s="1">
        <v>-1</v>
      </c>
      <c r="T62" s="1">
        <v>-1</v>
      </c>
      <c r="U62" s="1">
        <v>-1</v>
      </c>
      <c r="V62" s="1">
        <v>-1</v>
      </c>
      <c r="W62" s="1">
        <v>-1</v>
      </c>
      <c r="X62" s="48">
        <v>45150</v>
      </c>
    </row>
    <row r="63" spans="1:24" ht="14.4" x14ac:dyDescent="0.3">
      <c r="A63" s="1" t="s">
        <v>31</v>
      </c>
      <c r="B63" s="1">
        <v>20060</v>
      </c>
      <c r="C63" s="1" t="s">
        <v>5</v>
      </c>
      <c r="D63" s="24">
        <v>0</v>
      </c>
      <c r="E63" s="1" t="s">
        <v>6</v>
      </c>
      <c r="F63" s="24">
        <v>0.99998842592592596</v>
      </c>
      <c r="G63" s="1">
        <v>45</v>
      </c>
      <c r="H63" s="1">
        <v>65.900000000000006</v>
      </c>
      <c r="I63" s="1">
        <v>79.400000000000006</v>
      </c>
      <c r="J63" s="1">
        <v>-1</v>
      </c>
      <c r="K63" s="1">
        <v>-1</v>
      </c>
      <c r="L63" s="1">
        <v>-1</v>
      </c>
      <c r="M63" s="1">
        <v>90.9</v>
      </c>
      <c r="N63" s="1">
        <v>133.4</v>
      </c>
      <c r="O63" s="1">
        <v>160.9</v>
      </c>
      <c r="P63" s="1">
        <v>45</v>
      </c>
      <c r="Q63" s="1">
        <v>65.900000000000006</v>
      </c>
      <c r="R63" s="1">
        <v>79.400000000000006</v>
      </c>
      <c r="S63" s="1">
        <v>133.4</v>
      </c>
      <c r="T63" s="1">
        <v>160.9</v>
      </c>
      <c r="U63" s="1">
        <v>65.900000000000006</v>
      </c>
      <c r="V63" s="1">
        <v>79.400000000000006</v>
      </c>
      <c r="W63" s="1">
        <v>79.400000000000006</v>
      </c>
      <c r="X63" s="48">
        <v>45157</v>
      </c>
    </row>
    <row r="64" spans="1:24" ht="14.4" x14ac:dyDescent="0.3">
      <c r="A64" s="1" t="s">
        <v>32</v>
      </c>
      <c r="B64" s="1">
        <v>21000</v>
      </c>
      <c r="C64" s="1" t="s">
        <v>5</v>
      </c>
      <c r="D64" s="24">
        <v>0</v>
      </c>
      <c r="E64" s="1" t="s">
        <v>6</v>
      </c>
      <c r="F64" s="24">
        <v>0.99998842592592596</v>
      </c>
      <c r="G64" s="1">
        <v>-1</v>
      </c>
      <c r="H64" s="1">
        <v>-1</v>
      </c>
      <c r="I64" s="1">
        <v>-1</v>
      </c>
      <c r="J64" s="1">
        <v>-1</v>
      </c>
      <c r="K64" s="1">
        <v>-1</v>
      </c>
      <c r="L64" s="1">
        <v>-1</v>
      </c>
      <c r="M64" s="1">
        <v>-1</v>
      </c>
      <c r="N64" s="1">
        <v>-1</v>
      </c>
      <c r="O64" s="1">
        <v>-1</v>
      </c>
      <c r="P64" s="1">
        <v>-1</v>
      </c>
      <c r="Q64" s="1">
        <v>-1</v>
      </c>
      <c r="R64" s="1">
        <v>-1</v>
      </c>
      <c r="S64" s="1">
        <v>-1</v>
      </c>
      <c r="T64" s="1">
        <v>-1</v>
      </c>
      <c r="U64" s="1">
        <v>-1</v>
      </c>
      <c r="V64" s="1">
        <v>-1</v>
      </c>
      <c r="W64" s="1">
        <v>-1</v>
      </c>
      <c r="X64" s="48">
        <v>45143</v>
      </c>
    </row>
    <row r="65" spans="1:24" ht="14.4" x14ac:dyDescent="0.3">
      <c r="A65" s="1" t="s">
        <v>33</v>
      </c>
      <c r="B65" s="1">
        <v>21002</v>
      </c>
      <c r="C65" s="1" t="s">
        <v>5</v>
      </c>
      <c r="D65" s="24">
        <v>0</v>
      </c>
      <c r="E65" s="1" t="s">
        <v>6</v>
      </c>
      <c r="F65" s="24">
        <v>0.99998842592592596</v>
      </c>
      <c r="G65" s="1">
        <v>41.5</v>
      </c>
      <c r="H65" s="1">
        <v>61.4</v>
      </c>
      <c r="I65" s="1">
        <v>75</v>
      </c>
      <c r="J65" s="1">
        <v>-1</v>
      </c>
      <c r="K65" s="1">
        <v>-1</v>
      </c>
      <c r="L65" s="1">
        <v>-1</v>
      </c>
      <c r="M65" s="1">
        <v>84.6</v>
      </c>
      <c r="N65" s="1">
        <v>124.4</v>
      </c>
      <c r="O65" s="1">
        <v>151.5</v>
      </c>
      <c r="P65" s="1">
        <v>41.5</v>
      </c>
      <c r="Q65" s="1">
        <v>61.4</v>
      </c>
      <c r="R65" s="1">
        <v>75</v>
      </c>
      <c r="S65" s="1">
        <v>124.4</v>
      </c>
      <c r="T65" s="1">
        <v>151.5</v>
      </c>
      <c r="U65" s="1">
        <v>61.4</v>
      </c>
      <c r="V65" s="1">
        <v>75</v>
      </c>
      <c r="W65" s="1">
        <v>75</v>
      </c>
      <c r="X65" s="48">
        <v>45166</v>
      </c>
    </row>
    <row r="66" spans="1:24" ht="14.4" x14ac:dyDescent="0.3">
      <c r="A66" s="1" t="s">
        <v>34</v>
      </c>
      <c r="B66" s="1">
        <v>21004</v>
      </c>
      <c r="C66" s="1" t="s">
        <v>5</v>
      </c>
      <c r="D66" s="24">
        <v>0</v>
      </c>
      <c r="E66" s="1" t="s">
        <v>6</v>
      </c>
      <c r="F66" s="24">
        <v>0.99998842592592596</v>
      </c>
      <c r="G66" s="1">
        <v>43.3</v>
      </c>
      <c r="H66" s="1">
        <v>63.6</v>
      </c>
      <c r="I66" s="1">
        <v>79.400000000000006</v>
      </c>
      <c r="J66" s="1">
        <v>-1</v>
      </c>
      <c r="K66" s="1">
        <v>-1</v>
      </c>
      <c r="L66" s="1">
        <v>-1</v>
      </c>
      <c r="M66" s="1">
        <v>87.6</v>
      </c>
      <c r="N66" s="1">
        <v>128.6</v>
      </c>
      <c r="O66" s="1">
        <v>160.9</v>
      </c>
      <c r="P66" s="1">
        <v>43.3</v>
      </c>
      <c r="Q66" s="1">
        <v>63.6</v>
      </c>
      <c r="R66" s="1">
        <v>79.400000000000006</v>
      </c>
      <c r="S66" s="1">
        <v>128.6</v>
      </c>
      <c r="T66" s="1">
        <v>160.9</v>
      </c>
      <c r="U66" s="1">
        <v>63.6</v>
      </c>
      <c r="V66" s="1">
        <v>79.400000000000006</v>
      </c>
      <c r="W66" s="1">
        <v>79.400000000000006</v>
      </c>
      <c r="X66" s="48">
        <v>45162</v>
      </c>
    </row>
    <row r="67" spans="1:24" ht="14.4" x14ac:dyDescent="0.3">
      <c r="A67" s="1" t="s">
        <v>35</v>
      </c>
      <c r="B67" s="1">
        <v>21006</v>
      </c>
      <c r="C67" s="1" t="s">
        <v>5</v>
      </c>
      <c r="D67" s="24">
        <v>0</v>
      </c>
      <c r="E67" s="1" t="s">
        <v>6</v>
      </c>
      <c r="F67" s="24">
        <v>0.99998842592592596</v>
      </c>
      <c r="G67" s="1">
        <v>44.5</v>
      </c>
      <c r="H67" s="1">
        <v>65.900000000000006</v>
      </c>
      <c r="I67" s="1">
        <v>81.8</v>
      </c>
      <c r="J67" s="1">
        <v>-1</v>
      </c>
      <c r="K67" s="1">
        <v>-1</v>
      </c>
      <c r="L67" s="1">
        <v>-1</v>
      </c>
      <c r="M67" s="1">
        <v>89.9</v>
      </c>
      <c r="N67" s="1">
        <v>133.4</v>
      </c>
      <c r="O67" s="1">
        <v>165.3</v>
      </c>
      <c r="P67" s="1">
        <v>44.5</v>
      </c>
      <c r="Q67" s="1">
        <v>65.900000000000006</v>
      </c>
      <c r="R67" s="1">
        <v>81.8</v>
      </c>
      <c r="S67" s="1">
        <v>133.4</v>
      </c>
      <c r="T67" s="1">
        <v>165.3</v>
      </c>
      <c r="U67" s="1">
        <v>65.900000000000006</v>
      </c>
      <c r="V67" s="1">
        <v>81.8</v>
      </c>
      <c r="W67" s="1">
        <v>81.8</v>
      </c>
      <c r="X67" s="48">
        <v>45160</v>
      </c>
    </row>
    <row r="68" spans="1:24" ht="14.4" x14ac:dyDescent="0.3">
      <c r="A68" s="1" t="s">
        <v>36</v>
      </c>
      <c r="B68" s="1">
        <v>21008</v>
      </c>
      <c r="C68" s="1" t="s">
        <v>5</v>
      </c>
      <c r="D68" s="24">
        <v>0</v>
      </c>
      <c r="E68" s="1" t="s">
        <v>6</v>
      </c>
      <c r="F68" s="24">
        <v>0.99998842592592596</v>
      </c>
      <c r="G68" s="1">
        <v>47.3</v>
      </c>
      <c r="H68" s="1">
        <v>70.400000000000006</v>
      </c>
      <c r="I68" s="1">
        <v>86.4</v>
      </c>
      <c r="J68" s="1">
        <v>-1</v>
      </c>
      <c r="K68" s="1">
        <v>-1</v>
      </c>
      <c r="L68" s="1">
        <v>-1</v>
      </c>
      <c r="M68" s="1">
        <v>95.6</v>
      </c>
      <c r="N68" s="1">
        <v>142.5</v>
      </c>
      <c r="O68" s="1">
        <v>174.2</v>
      </c>
      <c r="P68" s="1">
        <v>47.3</v>
      </c>
      <c r="Q68" s="1">
        <v>70.400000000000006</v>
      </c>
      <c r="R68" s="1">
        <v>86.4</v>
      </c>
      <c r="S68" s="1">
        <v>142.5</v>
      </c>
      <c r="T68" s="1">
        <v>174.2</v>
      </c>
      <c r="U68" s="1">
        <v>70.400000000000006</v>
      </c>
      <c r="V68" s="1">
        <v>86.4</v>
      </c>
      <c r="W68" s="1">
        <v>86.4</v>
      </c>
      <c r="X68" s="48">
        <v>45179</v>
      </c>
    </row>
    <row r="69" spans="1:24" ht="14.4" x14ac:dyDescent="0.3">
      <c r="A69" s="1" t="s">
        <v>42</v>
      </c>
      <c r="B69" s="1">
        <v>21010</v>
      </c>
      <c r="C69" s="1" t="s">
        <v>5</v>
      </c>
      <c r="D69" s="24">
        <v>0</v>
      </c>
      <c r="E69" s="1" t="s">
        <v>6</v>
      </c>
      <c r="F69" s="24">
        <v>0.99998842592592596</v>
      </c>
      <c r="G69" s="1">
        <v>48.3</v>
      </c>
      <c r="H69" s="1">
        <v>72</v>
      </c>
      <c r="I69" s="1">
        <v>89</v>
      </c>
      <c r="J69" s="1">
        <v>-1</v>
      </c>
      <c r="K69" s="1">
        <v>-1</v>
      </c>
      <c r="L69" s="1">
        <v>-1</v>
      </c>
      <c r="M69" s="1">
        <v>97.9</v>
      </c>
      <c r="N69" s="1">
        <v>145.5</v>
      </c>
      <c r="O69" s="1">
        <v>179.8</v>
      </c>
      <c r="P69" s="1">
        <v>48.3</v>
      </c>
      <c r="Q69" s="1">
        <v>72</v>
      </c>
      <c r="R69" s="1">
        <v>89</v>
      </c>
      <c r="S69" s="1">
        <v>145.5</v>
      </c>
      <c r="T69" s="1">
        <v>179.8</v>
      </c>
      <c r="U69" s="1">
        <v>72</v>
      </c>
      <c r="V69" s="1">
        <v>89</v>
      </c>
      <c r="W69" s="1">
        <v>89</v>
      </c>
      <c r="X69" s="48">
        <v>45157</v>
      </c>
    </row>
    <row r="70" spans="1:24" ht="14.4" x14ac:dyDescent="0.3">
      <c r="A70" s="1" t="s">
        <v>37</v>
      </c>
      <c r="B70" s="1">
        <v>21012</v>
      </c>
      <c r="C70" s="1" t="s">
        <v>5</v>
      </c>
      <c r="D70" s="24">
        <v>0</v>
      </c>
      <c r="E70" s="1" t="s">
        <v>6</v>
      </c>
      <c r="F70" s="24">
        <v>0.99998842592592596</v>
      </c>
      <c r="G70" s="1">
        <v>49.1</v>
      </c>
      <c r="H70" s="1">
        <v>72.8</v>
      </c>
      <c r="I70" s="1">
        <v>90.9</v>
      </c>
      <c r="J70" s="1">
        <v>-1</v>
      </c>
      <c r="K70" s="1">
        <v>-1</v>
      </c>
      <c r="L70" s="1">
        <v>-1</v>
      </c>
      <c r="M70" s="1">
        <v>99.5</v>
      </c>
      <c r="N70" s="1">
        <v>146.80000000000001</v>
      </c>
      <c r="O70" s="1">
        <v>183.5</v>
      </c>
      <c r="P70" s="1">
        <v>49.1</v>
      </c>
      <c r="Q70" s="1">
        <v>72.8</v>
      </c>
      <c r="R70" s="1">
        <v>90.9</v>
      </c>
      <c r="S70" s="1">
        <v>146.80000000000001</v>
      </c>
      <c r="T70" s="1">
        <v>183.5</v>
      </c>
      <c r="U70" s="1">
        <v>72.8</v>
      </c>
      <c r="V70" s="1">
        <v>90.9</v>
      </c>
      <c r="W70" s="1">
        <v>90.9</v>
      </c>
      <c r="X70" s="48">
        <v>45143</v>
      </c>
    </row>
    <row r="71" spans="1:24" ht="14.4" x14ac:dyDescent="0.3">
      <c r="A71" s="1" t="s">
        <v>38</v>
      </c>
      <c r="B71" s="1">
        <v>21014</v>
      </c>
      <c r="C71" s="1" t="s">
        <v>5</v>
      </c>
      <c r="D71" s="24">
        <v>0</v>
      </c>
      <c r="E71" s="1" t="s">
        <v>6</v>
      </c>
      <c r="F71" s="24">
        <v>0.99998842592592596</v>
      </c>
      <c r="G71" s="1">
        <v>50.6</v>
      </c>
      <c r="H71" s="1">
        <v>75</v>
      </c>
      <c r="I71" s="1">
        <v>93.1</v>
      </c>
      <c r="J71" s="1">
        <v>-1</v>
      </c>
      <c r="K71" s="1">
        <v>-1</v>
      </c>
      <c r="L71" s="1">
        <v>-1</v>
      </c>
      <c r="M71" s="1">
        <v>102.6</v>
      </c>
      <c r="N71" s="1">
        <v>151.5</v>
      </c>
      <c r="O71" s="1">
        <v>188.1</v>
      </c>
      <c r="P71" s="1">
        <v>50.6</v>
      </c>
      <c r="Q71" s="1">
        <v>75</v>
      </c>
      <c r="R71" s="1">
        <v>93.1</v>
      </c>
      <c r="S71" s="1">
        <v>151.5</v>
      </c>
      <c r="T71" s="1">
        <v>188.1</v>
      </c>
      <c r="U71" s="1">
        <v>75</v>
      </c>
      <c r="V71" s="1">
        <v>93.1</v>
      </c>
      <c r="W71" s="1">
        <v>93.1</v>
      </c>
      <c r="X71" s="48">
        <v>45166</v>
      </c>
    </row>
    <row r="72" spans="1:24" ht="14.4" x14ac:dyDescent="0.3">
      <c r="A72" s="1" t="s">
        <v>39</v>
      </c>
      <c r="B72" s="1">
        <v>21016</v>
      </c>
      <c r="C72" s="1" t="s">
        <v>5</v>
      </c>
      <c r="D72" s="24">
        <v>0</v>
      </c>
      <c r="E72" s="1" t="s">
        <v>6</v>
      </c>
      <c r="F72" s="24">
        <v>0.99998842592592596</v>
      </c>
      <c r="G72" s="1">
        <v>51.8</v>
      </c>
      <c r="H72" s="1">
        <v>77.2</v>
      </c>
      <c r="I72" s="1">
        <v>93.1</v>
      </c>
      <c r="J72" s="1">
        <v>-1</v>
      </c>
      <c r="K72" s="1">
        <v>-1</v>
      </c>
      <c r="L72" s="1">
        <v>-1</v>
      </c>
      <c r="M72" s="1">
        <v>104.5</v>
      </c>
      <c r="N72" s="1">
        <v>156.4</v>
      </c>
      <c r="O72" s="1">
        <v>188.1</v>
      </c>
      <c r="P72" s="1">
        <v>51.8</v>
      </c>
      <c r="Q72" s="1">
        <v>77.2</v>
      </c>
      <c r="R72" s="1">
        <v>93.1</v>
      </c>
      <c r="S72" s="1">
        <v>156.4</v>
      </c>
      <c r="T72" s="1">
        <v>188.1</v>
      </c>
      <c r="U72" s="1">
        <v>77.2</v>
      </c>
      <c r="V72" s="1">
        <v>93.1</v>
      </c>
      <c r="W72" s="1">
        <v>93.1</v>
      </c>
      <c r="X72" s="48">
        <v>45162</v>
      </c>
    </row>
    <row r="73" spans="1:24" ht="14.4" x14ac:dyDescent="0.3">
      <c r="A73" s="1"/>
      <c r="B73" s="1"/>
      <c r="C73" s="1"/>
      <c r="D73" s="24"/>
      <c r="E73" s="1"/>
      <c r="F73" s="24"/>
      <c r="G73" s="1"/>
      <c r="H73" s="1">
        <f>SUMIFS(H34,H72,"&gt;20")</f>
        <v>3.6</v>
      </c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</sheetData>
  <conditionalFormatting sqref="A33:A73">
    <cfRule type="duplicateValues" dxfId="3" priority="5"/>
  </conditionalFormatting>
  <conditionalFormatting sqref="B33:B73">
    <cfRule type="duplicateValues" dxfId="2" priority="4"/>
  </conditionalFormatting>
  <conditionalFormatting sqref="A3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:X72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zoomScaleNormal="100" workbookViewId="0">
      <selection activeCell="B16" sqref="B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/>
      <c r="C16" s="12"/>
      <c r="D16" s="12"/>
      <c r="E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E22"/>
  <sheetViews>
    <sheetView zoomScaleNormal="100" workbookViewId="0">
      <selection activeCell="E15" sqref="E15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5" ht="21" x14ac:dyDescent="0.4">
      <c r="A1" s="42" t="s">
        <v>85</v>
      </c>
      <c r="B1" s="41" t="s">
        <v>167</v>
      </c>
    </row>
    <row r="2" spans="1:5" ht="18" x14ac:dyDescent="0.35">
      <c r="B2" s="40" t="s">
        <v>166</v>
      </c>
    </row>
    <row r="5" spans="1:5" ht="14.4" x14ac:dyDescent="0.3">
      <c r="B5" s="1" t="s">
        <v>151</v>
      </c>
    </row>
    <row r="6" spans="1:5" ht="14.4" x14ac:dyDescent="0.3">
      <c r="A6" s="3" t="s">
        <v>53</v>
      </c>
      <c r="B6" s="1"/>
    </row>
    <row r="7" spans="1:5" ht="14.4" x14ac:dyDescent="0.3">
      <c r="A7" s="3" t="s">
        <v>153</v>
      </c>
      <c r="B7" s="1"/>
    </row>
    <row r="10" spans="1:5" ht="23.4" x14ac:dyDescent="0.45">
      <c r="A10" s="18" t="s">
        <v>162</v>
      </c>
    </row>
    <row r="11" spans="1:5" ht="14.4" x14ac:dyDescent="0.3">
      <c r="A11" s="32" t="s">
        <v>86</v>
      </c>
      <c r="B11" s="17" t="s">
        <v>87</v>
      </c>
      <c r="C11" s="17" t="s">
        <v>88</v>
      </c>
    </row>
    <row r="12" spans="1:5" ht="14.4" x14ac:dyDescent="0.3">
      <c r="A12" s="32">
        <v>44927</v>
      </c>
      <c r="B12" s="17" t="s">
        <v>59</v>
      </c>
      <c r="C12" s="17">
        <v>200</v>
      </c>
    </row>
    <row r="13" spans="1:5" ht="14.4" x14ac:dyDescent="0.3">
      <c r="A13" s="32">
        <v>44928</v>
      </c>
      <c r="B13" s="17" t="s">
        <v>60</v>
      </c>
      <c r="C13" s="17" cm="1">
        <f t="array" aca="1" ref="C13" ca="1">IF(C12:C21=#N/A,"20",0)</f>
        <v>0</v>
      </c>
    </row>
    <row r="14" spans="1:5" ht="14.4" x14ac:dyDescent="0.3">
      <c r="A14" s="32">
        <v>44929</v>
      </c>
      <c r="B14" s="17" t="s">
        <v>61</v>
      </c>
      <c r="C14" s="17">
        <v>50</v>
      </c>
    </row>
    <row r="15" spans="1:5" ht="14.4" x14ac:dyDescent="0.3">
      <c r="A15" s="32">
        <v>44930</v>
      </c>
      <c r="B15" s="17" t="s">
        <v>62</v>
      </c>
      <c r="C15" s="17" t="e">
        <v>#N/A</v>
      </c>
      <c r="E15" s="2" t="e">
        <f>IF(C15=#N/A,20,0)</f>
        <v>#N/A</v>
      </c>
    </row>
    <row r="16" spans="1:5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shubham rathore</cp:lastModifiedBy>
  <dcterms:created xsi:type="dcterms:W3CDTF">2015-02-10T17:33:11Z</dcterms:created>
  <dcterms:modified xsi:type="dcterms:W3CDTF">2023-12-10T15:54:34Z</dcterms:modified>
</cp:coreProperties>
</file>